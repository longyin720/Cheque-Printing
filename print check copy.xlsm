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lon\Downloads\"/>
    </mc:Choice>
  </mc:AlternateContent>
  <xr:revisionPtr revIDLastSave="0" documentId="13_ncr:1_{FCC2C3F2-2D85-4EA9-956A-93DEA59D438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hqdetails" sheetId="1" r:id="rId1"/>
    <sheet name="print" sheetId="2" r:id="rId2"/>
  </sheets>
  <functionGroups builtInGroupCount="19"/>
  <definedNames>
    <definedName name="_xlnm.Print_Area" localSheetId="1">print!$A$1:$G$12</definedName>
  </definedNames>
  <calcPr calcId="181029"/>
</workbook>
</file>

<file path=xl/calcChain.xml><?xml version="1.0" encoding="utf-8"?>
<calcChain xmlns="http://schemas.openxmlformats.org/spreadsheetml/2006/main">
  <c r="G5" i="2" l="1"/>
  <c r="D5" i="2" l="1"/>
  <c r="B3" i="2"/>
  <c r="B5" i="2"/>
  <c r="G3" i="2" l="1"/>
  <c r="C1" i="2" l="1"/>
  <c r="D1" i="2"/>
  <c r="E1" i="2"/>
</calcChain>
</file>

<file path=xl/sharedStrings.xml><?xml version="1.0" encoding="utf-8"?>
<sst xmlns="http://schemas.openxmlformats.org/spreadsheetml/2006/main" count="78" uniqueCount="14">
  <si>
    <t>check no.</t>
  </si>
  <si>
    <t>payee name</t>
  </si>
  <si>
    <t>amount</t>
  </si>
  <si>
    <t>date</t>
  </si>
  <si>
    <t>******</t>
  </si>
  <si>
    <t>******erty Co.,Limited</t>
  </si>
  <si>
    <t>******司</t>
  </si>
  <si>
    <t>******rnational Holdings Ltd</t>
  </si>
  <si>
    <t>******td</t>
  </si>
  <si>
    <t>******ial Trustee Limited</t>
  </si>
  <si>
    <t>******unting Services Company</t>
  </si>
  <si>
    <t>****** Lock Centre Co. Ltd</t>
  </si>
  <si>
    <t>******a Group Insurance Company Limited</t>
  </si>
  <si>
    <t>******&amp;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</si>
</sst>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"/>
    <numFmt numFmtId="165" formatCode="yyyy/m/d;@"/>
  </numFmts>
  <fonts count="3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164" fontId="1" fillId="0" borderId="0" xfId="0" applyNumberFormat="1" applyFont="1"/>
    <xf numFmtId="165" fontId="1" fillId="0" borderId="0" xfId="0" applyNumberFormat="1" applyFont="1"/>
    <xf numFmtId="0" fontId="1" fillId="0" borderId="0" xfId="0" applyNumberFormat="1" applyFont="1"/>
    <xf numFmtId="14" fontId="1" fillId="0" borderId="0" xfId="0" applyNumberFormat="1" applyFont="1"/>
    <xf numFmtId="164" fontId="0" fillId="0" borderId="0" xfId="0" applyNumberFormat="1" applyFont="1"/>
    <xf numFmtId="0" fontId="0" fillId="0" borderId="0" xfId="0" applyFont="1"/>
    <xf numFmtId="14" fontId="0" fillId="0" borderId="0" xfId="0" applyNumberFormat="1" applyFont="1"/>
    <xf numFmtId="4" fontId="0" fillId="0" borderId="0" xfId="0" applyNumberFormat="1" applyFont="1"/>
    <xf numFmtId="4" fontId="1" fillId="0" borderId="0" xfId="0" applyNumberFormat="1" applyFont="1"/>
    <xf numFmtId="0" fontId="2" fillId="0" borderId="0" xfId="0" applyFont="1" applyAlignment="1">
      <alignment vertical="top"/>
    </xf>
    <xf numFmtId="0" fontId="2" fillId="0" borderId="0" xfId="0" applyFont="1" applyAlignment="1">
      <alignment horizontal="left" vertical="top" wrapText="1"/>
    </xf>
    <xf numFmtId="4" fontId="1" fillId="0" borderId="0" xfId="0" applyNumberFormat="1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M72"/>
  <sheetViews>
    <sheetView tabSelected="1" workbookViewId="0">
      <selection activeCell="F1" sqref="F1:F1048576"/>
    </sheetView>
  </sheetViews>
  <sheetFormatPr defaultColWidth="9.109375" defaultRowHeight="18" customHeight="1" x14ac:dyDescent="0.5"/>
  <cols>
    <col min="1" max="1" width="13.6640625" style="7" bestFit="1" customWidth="1"/>
    <col min="2" max="2" width="39.33203125" style="8" bestFit="1" customWidth="1"/>
    <col min="3" max="3" width="12.5546875" style="10" bestFit="1" customWidth="1"/>
    <col min="4" max="4" width="18.6640625" style="8" bestFit="1" customWidth="1"/>
    <col min="5" max="8" width="9.109375" style="1"/>
    <col min="9" max="9" width="9.6640625" style="1" bestFit="1" customWidth="1"/>
    <col min="10" max="16384" width="9.109375" style="1"/>
  </cols>
  <sheetData>
    <row r="1" spans="1:13" ht="18" customHeight="1" x14ac:dyDescent="0.5">
      <c r="A1" s="7" t="s">
        <v>0</v>
      </c>
      <c r="B1" s="8" t="s">
        <v>1</v>
      </c>
      <c r="C1" s="10" t="s">
        <v>2</v>
      </c>
      <c r="D1" s="8" t="s">
        <v>3</v>
      </c>
    </row>
    <row r="2" spans="1:13" ht="18" customHeight="1" x14ac:dyDescent="0.5">
      <c r="A2" s="7">
        <v>1975</v>
      </c>
      <c r="B2" s="8" t="s">
        <v>5</v>
      </c>
      <c r="C2" s="10">
        <v>90000</v>
      </c>
      <c r="D2" s="9">
        <v>44319</v>
      </c>
      <c r="I2" s="6"/>
    </row>
    <row r="3" spans="1:13" ht="18" customHeight="1" x14ac:dyDescent="0.5">
      <c r="A3" s="7">
        <v>1976</v>
      </c>
      <c r="B3" s="8" t="s">
        <v>4</v>
      </c>
      <c r="C3" s="10">
        <v>19950</v>
      </c>
      <c r="D3" s="9">
        <v>44319</v>
      </c>
    </row>
    <row r="4" spans="1:13" ht="18" customHeight="1" x14ac:dyDescent="0.5">
      <c r="A4" s="7">
        <v>1977</v>
      </c>
      <c r="B4" s="8" t="s">
        <v>4</v>
      </c>
      <c r="C4" s="10">
        <v>17100</v>
      </c>
      <c r="D4" s="9">
        <v>44319</v>
      </c>
      <c r="E4" s="8"/>
      <c r="F4" s="8"/>
      <c r="G4" s="8"/>
      <c r="H4" s="8"/>
      <c r="I4" s="8"/>
      <c r="J4" s="8"/>
      <c r="K4" s="8"/>
      <c r="L4" s="8"/>
      <c r="M4" s="8"/>
    </row>
    <row r="5" spans="1:13" ht="18" customHeight="1" x14ac:dyDescent="0.5">
      <c r="A5" s="7">
        <v>1978</v>
      </c>
      <c r="B5" s="8" t="s">
        <v>4</v>
      </c>
      <c r="C5" s="10">
        <v>7660</v>
      </c>
      <c r="D5" s="9">
        <v>44316</v>
      </c>
      <c r="E5" s="8"/>
      <c r="F5" s="8"/>
      <c r="G5" s="8"/>
      <c r="H5" s="8"/>
      <c r="I5" s="8"/>
      <c r="J5" s="8"/>
      <c r="K5" s="8"/>
      <c r="L5" s="8"/>
      <c r="M5" s="8"/>
    </row>
    <row r="6" spans="1:13" ht="18" customHeight="1" x14ac:dyDescent="0.5">
      <c r="A6" s="7">
        <v>1979</v>
      </c>
      <c r="B6" s="8" t="s">
        <v>4</v>
      </c>
      <c r="C6" s="10">
        <v>1720</v>
      </c>
      <c r="D6" s="9">
        <v>44255</v>
      </c>
      <c r="E6" s="8"/>
      <c r="F6" s="8"/>
      <c r="G6" s="8"/>
      <c r="H6" s="8"/>
      <c r="I6" s="8"/>
      <c r="J6" s="8"/>
      <c r="K6" s="8"/>
      <c r="L6" s="8"/>
      <c r="M6" s="8"/>
    </row>
    <row r="7" spans="1:13" ht="18" customHeight="1" x14ac:dyDescent="0.5">
      <c r="A7" s="7">
        <v>1980</v>
      </c>
      <c r="B7" s="8" t="s">
        <v>4</v>
      </c>
      <c r="C7" s="10">
        <v>12883.5</v>
      </c>
      <c r="D7" s="9">
        <v>44347</v>
      </c>
      <c r="E7" s="8"/>
      <c r="F7" s="8"/>
      <c r="G7" s="8"/>
      <c r="H7" s="8"/>
      <c r="I7" s="8"/>
      <c r="J7" s="8"/>
      <c r="K7" s="8"/>
      <c r="L7" s="8"/>
      <c r="M7" s="8"/>
    </row>
    <row r="8" spans="1:13" ht="18" customHeight="1" x14ac:dyDescent="0.5">
      <c r="A8" s="7">
        <v>1981</v>
      </c>
      <c r="B8" s="8" t="s">
        <v>6</v>
      </c>
      <c r="C8" s="10">
        <v>14114.8</v>
      </c>
      <c r="D8" s="9">
        <v>44286</v>
      </c>
      <c r="E8" s="8"/>
      <c r="F8" s="8"/>
      <c r="G8" s="8"/>
      <c r="H8" s="8"/>
      <c r="I8" s="8"/>
      <c r="J8" s="8"/>
      <c r="K8" s="8"/>
      <c r="L8" s="8"/>
      <c r="M8" s="8"/>
    </row>
    <row r="9" spans="1:13" ht="18" customHeight="1" x14ac:dyDescent="0.5">
      <c r="A9" s="7">
        <v>1982</v>
      </c>
      <c r="B9" s="8" t="s">
        <v>4</v>
      </c>
      <c r="C9" s="10">
        <v>2603</v>
      </c>
      <c r="D9" s="9">
        <v>44347</v>
      </c>
      <c r="E9" s="8"/>
      <c r="F9" s="8"/>
      <c r="G9" s="8"/>
      <c r="H9" s="8"/>
      <c r="I9" s="8"/>
      <c r="J9" s="8"/>
      <c r="K9" s="8"/>
      <c r="L9" s="8"/>
      <c r="M9" s="8"/>
    </row>
    <row r="10" spans="1:13" ht="18" customHeight="1" x14ac:dyDescent="0.5">
      <c r="A10" s="7">
        <v>1983</v>
      </c>
      <c r="B10" s="8" t="s">
        <v>4</v>
      </c>
      <c r="C10" s="10">
        <v>9016</v>
      </c>
      <c r="D10" s="9">
        <v>44347</v>
      </c>
      <c r="E10" s="8"/>
      <c r="F10" s="8"/>
      <c r="G10" s="8"/>
      <c r="H10" s="8"/>
      <c r="I10" s="8"/>
      <c r="J10" s="8"/>
      <c r="K10" s="8"/>
      <c r="L10" s="8"/>
      <c r="M10" s="8"/>
    </row>
    <row r="11" spans="1:13" ht="18" customHeight="1" x14ac:dyDescent="0.5">
      <c r="A11" s="7">
        <v>1984</v>
      </c>
      <c r="B11" s="8" t="s">
        <v>6</v>
      </c>
      <c r="C11" s="10">
        <v>15395.6</v>
      </c>
      <c r="D11" s="9">
        <v>44316</v>
      </c>
      <c r="E11" s="8"/>
      <c r="F11" s="8"/>
      <c r="G11" s="8"/>
      <c r="H11" s="8"/>
      <c r="I11" s="8"/>
      <c r="J11" s="8"/>
      <c r="K11" s="8"/>
      <c r="L11" s="8"/>
      <c r="M11" s="8"/>
    </row>
    <row r="12" spans="1:13" ht="18" customHeight="1" x14ac:dyDescent="0.5">
      <c r="A12" s="7">
        <v>1985</v>
      </c>
      <c r="B12" s="8" t="s">
        <v>4</v>
      </c>
      <c r="C12" s="10">
        <v>6955</v>
      </c>
      <c r="D12" s="9">
        <v>44347</v>
      </c>
      <c r="E12" s="8"/>
      <c r="F12" s="8"/>
      <c r="G12" s="8"/>
      <c r="H12" s="8"/>
      <c r="I12" s="8"/>
      <c r="J12" s="8"/>
      <c r="K12" s="8"/>
      <c r="L12" s="8"/>
      <c r="M12" s="8"/>
    </row>
    <row r="13" spans="1:13" ht="18" customHeight="1" x14ac:dyDescent="0.5">
      <c r="A13" s="7">
        <v>1987</v>
      </c>
      <c r="B13" s="8" t="s">
        <v>4</v>
      </c>
      <c r="C13" s="10">
        <v>3523.25</v>
      </c>
      <c r="D13" s="9">
        <v>44347</v>
      </c>
      <c r="E13" s="8"/>
      <c r="F13" s="8"/>
      <c r="G13" s="8"/>
      <c r="H13" s="8"/>
      <c r="I13" s="8"/>
      <c r="J13" s="8"/>
      <c r="K13" s="8"/>
      <c r="L13" s="8"/>
      <c r="M13" s="8"/>
    </row>
    <row r="14" spans="1:13" ht="18" customHeight="1" x14ac:dyDescent="0.5">
      <c r="A14" s="7">
        <v>1988</v>
      </c>
      <c r="B14" s="8" t="s">
        <v>4</v>
      </c>
      <c r="C14" s="10">
        <v>3040</v>
      </c>
      <c r="D14" s="9">
        <v>44377</v>
      </c>
      <c r="E14" s="8"/>
      <c r="F14" s="8"/>
      <c r="G14" s="8"/>
      <c r="H14" s="8"/>
      <c r="I14" s="8"/>
      <c r="J14" s="8"/>
      <c r="K14" s="8"/>
      <c r="L14" s="8"/>
      <c r="M14" s="8"/>
    </row>
    <row r="15" spans="1:13" ht="18" customHeight="1" x14ac:dyDescent="0.5">
      <c r="A15" s="7">
        <v>1989</v>
      </c>
      <c r="B15" s="8" t="s">
        <v>4</v>
      </c>
      <c r="C15" s="10">
        <v>27917.4</v>
      </c>
      <c r="D15" s="9">
        <v>44347</v>
      </c>
      <c r="E15" s="8"/>
      <c r="F15" s="8"/>
      <c r="G15" s="8"/>
      <c r="H15" s="8"/>
      <c r="I15" s="8"/>
      <c r="J15" s="8"/>
      <c r="K15" s="8"/>
      <c r="L15" s="8"/>
      <c r="M15" s="8"/>
    </row>
    <row r="16" spans="1:13" ht="18" customHeight="1" x14ac:dyDescent="0.5">
      <c r="A16" s="7">
        <v>1990</v>
      </c>
      <c r="B16" s="8" t="s">
        <v>4</v>
      </c>
      <c r="C16" s="10">
        <v>8400.6</v>
      </c>
      <c r="D16" s="9">
        <v>44347</v>
      </c>
      <c r="E16" s="8"/>
      <c r="F16" s="8"/>
      <c r="G16" s="8"/>
      <c r="H16" s="8"/>
      <c r="I16" s="8"/>
      <c r="J16" s="8"/>
      <c r="K16" s="8"/>
      <c r="L16" s="8"/>
      <c r="M16" s="8"/>
    </row>
    <row r="17" spans="1:13" ht="18" customHeight="1" x14ac:dyDescent="0.5">
      <c r="A17" s="7">
        <v>1991</v>
      </c>
      <c r="B17" s="8" t="s">
        <v>4</v>
      </c>
      <c r="C17" s="10">
        <v>33602.68</v>
      </c>
      <c r="D17" s="9">
        <v>44347</v>
      </c>
      <c r="E17" s="8"/>
      <c r="F17" s="8"/>
      <c r="G17" s="8"/>
      <c r="H17" s="8"/>
      <c r="I17" s="8"/>
      <c r="J17" s="8"/>
      <c r="K17" s="8"/>
      <c r="L17" s="8"/>
      <c r="M17" s="8"/>
    </row>
    <row r="18" spans="1:13" ht="18" customHeight="1" x14ac:dyDescent="0.5">
      <c r="A18" s="7">
        <v>1992</v>
      </c>
      <c r="B18" s="8" t="s">
        <v>4</v>
      </c>
      <c r="C18" s="10">
        <v>381.61</v>
      </c>
      <c r="D18" s="9">
        <v>44316</v>
      </c>
      <c r="E18" s="8"/>
      <c r="F18" s="8"/>
      <c r="G18" s="8"/>
      <c r="H18" s="8"/>
      <c r="I18" s="8"/>
      <c r="J18" s="8"/>
      <c r="K18" s="8"/>
      <c r="L18" s="8"/>
      <c r="M18" s="8"/>
    </row>
    <row r="19" spans="1:13" ht="18" customHeight="1" x14ac:dyDescent="0.5">
      <c r="A19" s="7">
        <v>1993</v>
      </c>
      <c r="B19" s="8" t="s">
        <v>4</v>
      </c>
      <c r="C19" s="10">
        <v>4072.81</v>
      </c>
      <c r="D19" s="9">
        <v>44347</v>
      </c>
      <c r="E19" s="8"/>
      <c r="F19" s="8"/>
      <c r="G19" s="8"/>
      <c r="H19" s="8"/>
      <c r="I19" s="8"/>
      <c r="J19" s="8"/>
      <c r="K19" s="8"/>
      <c r="L19" s="8"/>
      <c r="M19" s="8"/>
    </row>
    <row r="20" spans="1:13" ht="18" customHeight="1" x14ac:dyDescent="0.5">
      <c r="A20" s="7">
        <v>1994</v>
      </c>
      <c r="B20" s="8" t="s">
        <v>4</v>
      </c>
      <c r="C20" s="10">
        <v>2450</v>
      </c>
      <c r="D20" s="9">
        <v>44347</v>
      </c>
      <c r="E20" s="8"/>
      <c r="F20" s="8"/>
      <c r="G20" s="8"/>
      <c r="H20" s="8"/>
      <c r="I20" s="8"/>
      <c r="J20" s="8"/>
      <c r="K20" s="8"/>
      <c r="L20" s="8"/>
      <c r="M20" s="8"/>
    </row>
    <row r="21" spans="1:13" ht="18" customHeight="1" x14ac:dyDescent="0.5">
      <c r="A21" s="7">
        <v>1995</v>
      </c>
      <c r="B21" s="8" t="s">
        <v>4</v>
      </c>
      <c r="C21" s="10">
        <v>51632</v>
      </c>
      <c r="D21" s="9">
        <v>44347</v>
      </c>
      <c r="E21" s="8"/>
      <c r="F21" s="8"/>
      <c r="G21" s="8"/>
      <c r="H21" s="8"/>
      <c r="I21" s="8"/>
      <c r="J21" s="8"/>
      <c r="K21" s="8"/>
      <c r="L21" s="8"/>
      <c r="M21" s="8"/>
    </row>
    <row r="22" spans="1:13" ht="18" customHeight="1" x14ac:dyDescent="0.5">
      <c r="A22" s="7">
        <v>1997</v>
      </c>
      <c r="B22" s="8" t="s">
        <v>4</v>
      </c>
      <c r="C22" s="10">
        <v>1833</v>
      </c>
      <c r="D22" s="9">
        <v>44316</v>
      </c>
      <c r="E22" s="8"/>
      <c r="F22" s="8"/>
      <c r="G22" s="8"/>
      <c r="H22" s="8"/>
      <c r="I22" s="8"/>
      <c r="J22" s="8"/>
      <c r="K22" s="8"/>
      <c r="L22" s="8"/>
      <c r="M22" s="8"/>
    </row>
    <row r="23" spans="1:13" ht="18" customHeight="1" x14ac:dyDescent="0.5">
      <c r="A23" s="7">
        <v>1999</v>
      </c>
      <c r="B23" s="8" t="s">
        <v>4</v>
      </c>
      <c r="C23" s="10">
        <v>13110</v>
      </c>
      <c r="D23" s="9">
        <v>44316</v>
      </c>
      <c r="E23" s="8"/>
      <c r="F23" s="8"/>
      <c r="G23" s="8"/>
      <c r="H23" s="8"/>
      <c r="I23" s="8"/>
      <c r="J23" s="8"/>
      <c r="K23" s="8"/>
      <c r="L23" s="8"/>
      <c r="M23" s="8"/>
    </row>
    <row r="24" spans="1:13" ht="18" customHeight="1" x14ac:dyDescent="0.5">
      <c r="A24" s="7">
        <v>2011</v>
      </c>
      <c r="B24" s="8" t="s">
        <v>7</v>
      </c>
      <c r="C24" s="10">
        <v>142</v>
      </c>
      <c r="D24" s="9">
        <v>44322</v>
      </c>
      <c r="E24" s="8"/>
      <c r="F24" s="8"/>
      <c r="G24" s="8"/>
      <c r="H24" s="8"/>
      <c r="I24" s="8"/>
      <c r="J24" s="8"/>
      <c r="K24" s="8"/>
      <c r="L24" s="8"/>
      <c r="M24" s="8"/>
    </row>
    <row r="25" spans="1:13" ht="18" customHeight="1" x14ac:dyDescent="0.5">
      <c r="A25" s="7">
        <v>2021</v>
      </c>
      <c r="B25" s="8" t="s">
        <v>8</v>
      </c>
      <c r="C25" s="10">
        <v>6729</v>
      </c>
      <c r="D25" s="9">
        <v>44347</v>
      </c>
      <c r="E25" s="8"/>
      <c r="F25" s="8"/>
      <c r="G25" s="8"/>
      <c r="H25" s="8"/>
      <c r="I25" s="8"/>
      <c r="J25" s="8"/>
      <c r="K25" s="8"/>
      <c r="L25" s="8"/>
      <c r="M25" s="8"/>
    </row>
    <row r="26" spans="1:13" ht="18" customHeight="1" x14ac:dyDescent="0.5">
      <c r="A26" s="7">
        <v>2050</v>
      </c>
      <c r="B26" s="8" t="s">
        <v>8</v>
      </c>
      <c r="C26" s="10">
        <v>4790</v>
      </c>
      <c r="D26" s="9">
        <v>44377</v>
      </c>
      <c r="E26" s="8"/>
      <c r="F26" s="8"/>
      <c r="G26" s="8"/>
      <c r="H26" s="8"/>
      <c r="I26" s="8"/>
      <c r="J26" s="8"/>
      <c r="K26" s="8"/>
      <c r="L26" s="8"/>
      <c r="M26" s="8"/>
    </row>
    <row r="27" spans="1:13" ht="18" customHeight="1" x14ac:dyDescent="0.5">
      <c r="A27" s="7">
        <v>731581</v>
      </c>
      <c r="B27" s="8" t="s">
        <v>7</v>
      </c>
      <c r="C27" s="10">
        <v>192</v>
      </c>
      <c r="D27" s="9">
        <v>44351</v>
      </c>
      <c r="E27" s="8"/>
      <c r="F27" s="8"/>
      <c r="G27" s="8"/>
      <c r="H27" s="8"/>
      <c r="I27" s="8"/>
      <c r="J27" s="8"/>
      <c r="K27" s="8"/>
      <c r="L27" s="8"/>
      <c r="M27" s="8"/>
    </row>
    <row r="28" spans="1:13" ht="18" customHeight="1" x14ac:dyDescent="0.5">
      <c r="A28" s="7">
        <v>731599</v>
      </c>
      <c r="B28" s="8" t="s">
        <v>5</v>
      </c>
      <c r="C28" s="10">
        <v>90000</v>
      </c>
      <c r="D28" s="9">
        <v>44382</v>
      </c>
      <c r="E28" s="8"/>
      <c r="F28" s="8"/>
      <c r="G28" s="8"/>
      <c r="H28" s="8"/>
      <c r="I28" s="8"/>
      <c r="J28" s="8"/>
      <c r="K28" s="8"/>
      <c r="L28" s="8"/>
      <c r="M28" s="8"/>
    </row>
    <row r="29" spans="1:13" ht="18" customHeight="1" x14ac:dyDescent="0.5">
      <c r="A29" s="7">
        <v>731600</v>
      </c>
      <c r="B29" s="8" t="s">
        <v>4</v>
      </c>
      <c r="C29" s="10">
        <v>19950</v>
      </c>
      <c r="D29" s="9">
        <v>44382</v>
      </c>
      <c r="E29" s="8"/>
      <c r="F29" s="8"/>
      <c r="G29" s="8"/>
      <c r="H29" s="8"/>
      <c r="I29" s="8"/>
      <c r="J29" s="8"/>
      <c r="K29" s="8"/>
      <c r="L29" s="8"/>
      <c r="M29" s="8"/>
    </row>
    <row r="30" spans="1:13" ht="18" customHeight="1" x14ac:dyDescent="0.5">
      <c r="A30" s="7">
        <v>731601</v>
      </c>
      <c r="B30" s="8" t="s">
        <v>4</v>
      </c>
      <c r="C30" s="10">
        <v>17100</v>
      </c>
      <c r="D30" s="9">
        <v>44382</v>
      </c>
      <c r="E30" s="8"/>
      <c r="F30" s="8"/>
      <c r="G30" s="8"/>
      <c r="H30" s="8"/>
      <c r="I30" s="8"/>
      <c r="J30" s="8"/>
      <c r="K30" s="8"/>
      <c r="L30" s="8"/>
      <c r="M30" s="8"/>
    </row>
    <row r="31" spans="1:13" ht="18" customHeight="1" x14ac:dyDescent="0.5">
      <c r="A31" s="7">
        <v>731613</v>
      </c>
      <c r="B31" s="8" t="s">
        <v>8</v>
      </c>
      <c r="C31" s="10">
        <v>7098.6</v>
      </c>
      <c r="D31" s="9">
        <v>44408</v>
      </c>
      <c r="E31" s="8"/>
      <c r="F31" s="8"/>
      <c r="G31" s="8"/>
      <c r="H31" s="8"/>
      <c r="I31" s="8"/>
      <c r="J31" s="8"/>
      <c r="K31" s="8"/>
      <c r="L31" s="8"/>
      <c r="M31" s="8"/>
    </row>
    <row r="32" spans="1:13" ht="18" customHeight="1" x14ac:dyDescent="0.5">
      <c r="A32" s="7">
        <v>731628</v>
      </c>
      <c r="B32" s="8" t="s">
        <v>9</v>
      </c>
      <c r="C32" s="10">
        <v>6500</v>
      </c>
      <c r="D32" s="9">
        <v>44377</v>
      </c>
      <c r="E32" s="8"/>
      <c r="F32" s="8"/>
      <c r="G32" s="8"/>
      <c r="H32" s="8"/>
      <c r="I32" s="8"/>
      <c r="J32" s="8"/>
      <c r="K32" s="8"/>
      <c r="L32" s="8"/>
      <c r="M32" s="8"/>
    </row>
    <row r="33" spans="1:4" ht="18" customHeight="1" x14ac:dyDescent="0.5">
      <c r="A33" s="7">
        <v>731629</v>
      </c>
      <c r="B33" s="8" t="s">
        <v>10</v>
      </c>
      <c r="C33" s="10">
        <v>5700</v>
      </c>
      <c r="D33" s="9">
        <v>44377</v>
      </c>
    </row>
    <row r="34" spans="1:4" ht="18" customHeight="1" x14ac:dyDescent="0.5">
      <c r="A34" s="7">
        <v>731634</v>
      </c>
      <c r="B34" s="8" t="s">
        <v>7</v>
      </c>
      <c r="C34" s="10">
        <v>256</v>
      </c>
      <c r="D34" s="9">
        <v>44384</v>
      </c>
    </row>
    <row r="35" spans="1:4" ht="18" customHeight="1" x14ac:dyDescent="0.5">
      <c r="A35" s="7">
        <v>731657</v>
      </c>
      <c r="B35" s="8" t="s">
        <v>5</v>
      </c>
      <c r="C35" s="10">
        <v>90000</v>
      </c>
      <c r="D35" s="9">
        <v>44411</v>
      </c>
    </row>
    <row r="36" spans="1:4" ht="18" customHeight="1" x14ac:dyDescent="0.5">
      <c r="A36" s="7">
        <v>731658</v>
      </c>
      <c r="B36" s="8" t="s">
        <v>4</v>
      </c>
      <c r="C36" s="10">
        <v>19950</v>
      </c>
      <c r="D36" s="9">
        <v>44411</v>
      </c>
    </row>
    <row r="37" spans="1:4" ht="18" customHeight="1" x14ac:dyDescent="0.5">
      <c r="A37" s="7">
        <v>731659</v>
      </c>
      <c r="B37" s="8" t="s">
        <v>4</v>
      </c>
      <c r="C37" s="10">
        <v>17100</v>
      </c>
      <c r="D37" s="9">
        <v>44411</v>
      </c>
    </row>
    <row r="38" spans="1:4" ht="18" customHeight="1" x14ac:dyDescent="0.5">
      <c r="A38" s="7">
        <v>731671</v>
      </c>
      <c r="B38" s="8" t="s">
        <v>9</v>
      </c>
      <c r="C38" s="10">
        <v>6500</v>
      </c>
      <c r="D38" s="9">
        <v>44410</v>
      </c>
    </row>
    <row r="39" spans="1:4" ht="18" customHeight="1" x14ac:dyDescent="0.5">
      <c r="A39" s="7">
        <v>731672</v>
      </c>
      <c r="B39" s="8" t="s">
        <v>10</v>
      </c>
      <c r="C39" s="10">
        <v>5700</v>
      </c>
      <c r="D39" s="9">
        <v>44410</v>
      </c>
    </row>
    <row r="40" spans="1:4" ht="18" customHeight="1" x14ac:dyDescent="0.5">
      <c r="A40" s="7">
        <v>731681</v>
      </c>
      <c r="B40" s="8" t="s">
        <v>7</v>
      </c>
      <c r="C40" s="10">
        <v>192</v>
      </c>
      <c r="D40" s="9">
        <v>44413</v>
      </c>
    </row>
    <row r="41" spans="1:4" ht="18" customHeight="1" x14ac:dyDescent="0.5">
      <c r="A41" s="7">
        <v>731685</v>
      </c>
      <c r="B41" s="8" t="s">
        <v>8</v>
      </c>
      <c r="C41" s="10">
        <v>6090</v>
      </c>
      <c r="D41" s="9">
        <v>44439</v>
      </c>
    </row>
    <row r="42" spans="1:4" ht="18" customHeight="1" x14ac:dyDescent="0.5">
      <c r="A42" s="7">
        <v>731691</v>
      </c>
      <c r="B42" s="8" t="s">
        <v>11</v>
      </c>
      <c r="C42" s="10">
        <v>26600</v>
      </c>
      <c r="D42" s="9">
        <v>44424</v>
      </c>
    </row>
    <row r="43" spans="1:4" ht="18" customHeight="1" x14ac:dyDescent="0.5">
      <c r="A43" s="7">
        <v>731710</v>
      </c>
      <c r="B43" s="8" t="s">
        <v>8</v>
      </c>
      <c r="C43" s="10">
        <v>1742</v>
      </c>
      <c r="D43" s="9">
        <v>44469</v>
      </c>
    </row>
    <row r="44" spans="1:4" ht="18" customHeight="1" x14ac:dyDescent="0.5">
      <c r="A44" s="7">
        <v>731731</v>
      </c>
      <c r="B44" s="8" t="s">
        <v>9</v>
      </c>
      <c r="C44" s="10">
        <v>6500</v>
      </c>
      <c r="D44" s="9">
        <v>44440</v>
      </c>
    </row>
    <row r="45" spans="1:4" ht="18" customHeight="1" x14ac:dyDescent="0.5">
      <c r="A45" s="7">
        <v>731732</v>
      </c>
      <c r="B45" s="8" t="s">
        <v>10</v>
      </c>
      <c r="C45" s="10">
        <v>5700</v>
      </c>
      <c r="D45" s="9">
        <v>44440</v>
      </c>
    </row>
    <row r="46" spans="1:4" ht="18" customHeight="1" x14ac:dyDescent="0.5">
      <c r="A46" s="7">
        <v>731733</v>
      </c>
      <c r="B46" s="8" t="s">
        <v>5</v>
      </c>
      <c r="C46" s="10">
        <v>90000</v>
      </c>
      <c r="D46" s="9">
        <v>44442</v>
      </c>
    </row>
    <row r="47" spans="1:4" ht="18" customHeight="1" x14ac:dyDescent="0.5">
      <c r="A47" s="7">
        <v>731734</v>
      </c>
      <c r="B47" s="8" t="s">
        <v>4</v>
      </c>
      <c r="C47" s="10">
        <v>19950</v>
      </c>
      <c r="D47" s="9">
        <v>44442</v>
      </c>
    </row>
    <row r="48" spans="1:4" ht="18" customHeight="1" x14ac:dyDescent="0.5">
      <c r="A48" s="7">
        <v>731735</v>
      </c>
      <c r="B48" s="8" t="s">
        <v>4</v>
      </c>
      <c r="C48" s="10">
        <v>17100</v>
      </c>
      <c r="D48" s="9">
        <v>44442</v>
      </c>
    </row>
    <row r="49" spans="1:4" ht="18" customHeight="1" x14ac:dyDescent="0.5">
      <c r="A49" s="7">
        <v>731751</v>
      </c>
      <c r="B49" s="8" t="s">
        <v>8</v>
      </c>
      <c r="C49" s="10">
        <v>6066</v>
      </c>
      <c r="D49" s="9">
        <v>44500</v>
      </c>
    </row>
    <row r="50" spans="1:4" ht="18" customHeight="1" x14ac:dyDescent="0.5">
      <c r="A50" s="7">
        <v>731755</v>
      </c>
      <c r="B50" s="8" t="s">
        <v>5</v>
      </c>
      <c r="C50" s="10">
        <v>90000</v>
      </c>
      <c r="D50" s="9">
        <v>44473</v>
      </c>
    </row>
    <row r="51" spans="1:4" ht="18" customHeight="1" x14ac:dyDescent="0.5">
      <c r="A51" s="7">
        <v>731756</v>
      </c>
      <c r="B51" s="8" t="s">
        <v>4</v>
      </c>
      <c r="C51" s="10">
        <v>19950</v>
      </c>
      <c r="D51" s="9">
        <v>44473</v>
      </c>
    </row>
    <row r="52" spans="1:4" ht="18" customHeight="1" x14ac:dyDescent="0.5">
      <c r="A52" s="7">
        <v>731757</v>
      </c>
      <c r="B52" s="8" t="s">
        <v>4</v>
      </c>
      <c r="C52" s="10">
        <v>17100</v>
      </c>
      <c r="D52" s="9">
        <v>44473</v>
      </c>
    </row>
    <row r="53" spans="1:4" ht="18" customHeight="1" x14ac:dyDescent="0.5">
      <c r="A53" s="7">
        <v>731761</v>
      </c>
      <c r="B53" s="8" t="s">
        <v>12</v>
      </c>
      <c r="C53" s="10">
        <v>6784</v>
      </c>
      <c r="D53" s="9">
        <v>44466</v>
      </c>
    </row>
    <row r="54" spans="1:4" ht="18" customHeight="1" x14ac:dyDescent="0.5">
      <c r="A54" s="7">
        <v>731762</v>
      </c>
      <c r="B54" s="8" t="s">
        <v>9</v>
      </c>
      <c r="C54" s="10">
        <v>6500</v>
      </c>
      <c r="D54" s="9">
        <v>44473</v>
      </c>
    </row>
    <row r="55" spans="1:4" ht="18" customHeight="1" x14ac:dyDescent="0.5">
      <c r="A55" s="7">
        <v>731763</v>
      </c>
      <c r="B55" s="8" t="s">
        <v>10</v>
      </c>
      <c r="C55" s="10">
        <v>5700</v>
      </c>
      <c r="D55" s="9">
        <v>44473</v>
      </c>
    </row>
    <row r="56" spans="1:4" ht="18" customHeight="1" x14ac:dyDescent="0.5">
      <c r="A56" s="7">
        <v>731780</v>
      </c>
      <c r="B56" s="8" t="s">
        <v>7</v>
      </c>
      <c r="C56" s="10">
        <v>192</v>
      </c>
      <c r="D56" s="9">
        <v>44476</v>
      </c>
    </row>
    <row r="57" spans="1:4" ht="18" customHeight="1" x14ac:dyDescent="0.5">
      <c r="A57" s="7">
        <v>731791</v>
      </c>
      <c r="B57" s="8" t="s">
        <v>11</v>
      </c>
      <c r="C57" s="10">
        <v>2010</v>
      </c>
      <c r="D57" s="9">
        <v>44500</v>
      </c>
    </row>
    <row r="58" spans="1:4" ht="18" customHeight="1" x14ac:dyDescent="0.5">
      <c r="A58" s="7">
        <v>731797</v>
      </c>
      <c r="B58" s="8" t="s">
        <v>5</v>
      </c>
      <c r="C58" s="10">
        <v>13900</v>
      </c>
      <c r="D58" s="9">
        <v>44494</v>
      </c>
    </row>
    <row r="59" spans="1:4" ht="18" customHeight="1" x14ac:dyDescent="0.5">
      <c r="A59" s="7">
        <v>731798</v>
      </c>
      <c r="B59" s="8" t="s">
        <v>8</v>
      </c>
      <c r="C59" s="10">
        <v>3170</v>
      </c>
      <c r="D59" s="9">
        <v>44530</v>
      </c>
    </row>
    <row r="60" spans="1:4" ht="18" customHeight="1" x14ac:dyDescent="0.5">
      <c r="A60" s="7">
        <v>731817</v>
      </c>
      <c r="B60" s="8" t="s">
        <v>10</v>
      </c>
      <c r="C60" s="10">
        <v>5700</v>
      </c>
      <c r="D60" s="9">
        <v>44501</v>
      </c>
    </row>
    <row r="61" spans="1:4" ht="18" customHeight="1" x14ac:dyDescent="0.5">
      <c r="A61" s="7">
        <v>731818</v>
      </c>
      <c r="B61" s="8" t="s">
        <v>9</v>
      </c>
      <c r="C61" s="10">
        <v>6500</v>
      </c>
      <c r="D61" s="9">
        <v>44501</v>
      </c>
    </row>
    <row r="62" spans="1:4" ht="18" customHeight="1" x14ac:dyDescent="0.5">
      <c r="A62" s="7">
        <v>731828</v>
      </c>
      <c r="B62" s="8" t="s">
        <v>4</v>
      </c>
      <c r="C62" s="10">
        <v>371</v>
      </c>
      <c r="D62" s="9">
        <v>44504</v>
      </c>
    </row>
    <row r="63" spans="1:4" ht="18" customHeight="1" x14ac:dyDescent="0.5">
      <c r="A63" s="7">
        <v>731829</v>
      </c>
      <c r="B63" s="8" t="s">
        <v>7</v>
      </c>
      <c r="C63" s="10">
        <v>192</v>
      </c>
      <c r="D63" s="9">
        <v>44504</v>
      </c>
    </row>
    <row r="64" spans="1:4" ht="18" customHeight="1" x14ac:dyDescent="0.5">
      <c r="A64" s="7">
        <v>731838</v>
      </c>
      <c r="B64" s="8" t="s">
        <v>5</v>
      </c>
      <c r="C64" s="10">
        <v>90000</v>
      </c>
      <c r="D64" s="9">
        <v>44533</v>
      </c>
    </row>
    <row r="65" spans="1:4" ht="18" customHeight="1" x14ac:dyDescent="0.5">
      <c r="A65" s="7">
        <v>731839</v>
      </c>
      <c r="B65" s="8" t="s">
        <v>4</v>
      </c>
      <c r="C65" s="10">
        <v>19950</v>
      </c>
      <c r="D65" s="9">
        <v>44533</v>
      </c>
    </row>
    <row r="66" spans="1:4" ht="18" customHeight="1" x14ac:dyDescent="0.5">
      <c r="A66" s="7">
        <v>731840</v>
      </c>
      <c r="B66" s="8" t="s">
        <v>4</v>
      </c>
      <c r="C66" s="10">
        <v>17100</v>
      </c>
      <c r="D66" s="9">
        <v>44533</v>
      </c>
    </row>
    <row r="67" spans="1:4" ht="18" customHeight="1" x14ac:dyDescent="0.5">
      <c r="A67" s="7">
        <v>731852</v>
      </c>
      <c r="B67" s="8" t="s">
        <v>10</v>
      </c>
      <c r="C67" s="10">
        <v>2500</v>
      </c>
      <c r="D67" s="9">
        <v>44515</v>
      </c>
    </row>
    <row r="68" spans="1:4" ht="18" customHeight="1" x14ac:dyDescent="0.5">
      <c r="A68" s="7">
        <v>731871</v>
      </c>
      <c r="B68" s="8" t="s">
        <v>8</v>
      </c>
      <c r="C68" s="10">
        <v>3720.5</v>
      </c>
      <c r="D68" s="9">
        <v>44561</v>
      </c>
    </row>
    <row r="69" spans="1:4" ht="18" customHeight="1" x14ac:dyDescent="0.5">
      <c r="A69" s="7">
        <v>731873</v>
      </c>
      <c r="B69" s="8" t="s">
        <v>9</v>
      </c>
      <c r="C69" s="10">
        <v>6500</v>
      </c>
      <c r="D69" s="9">
        <v>44531</v>
      </c>
    </row>
    <row r="70" spans="1:4" ht="18" customHeight="1" x14ac:dyDescent="0.5">
      <c r="A70" s="7">
        <v>731874</v>
      </c>
      <c r="B70" s="8" t="s">
        <v>10</v>
      </c>
      <c r="C70" s="10">
        <v>5700</v>
      </c>
      <c r="D70" s="9">
        <v>44531</v>
      </c>
    </row>
    <row r="71" spans="1:4" ht="18" customHeight="1" x14ac:dyDescent="0.5">
      <c r="A71" s="7">
        <v>731880</v>
      </c>
      <c r="B71" s="8" t="s">
        <v>7</v>
      </c>
      <c r="C71" s="10">
        <v>192</v>
      </c>
      <c r="D71" s="9">
        <v>44537</v>
      </c>
    </row>
    <row r="72" spans="1:4" ht="18" customHeight="1" x14ac:dyDescent="0.5">
      <c r="A72" s="7">
        <v>731889</v>
      </c>
      <c r="B72" s="8" t="s">
        <v>13</v>
      </c>
      <c r="C72" s="10">
        <v>33700</v>
      </c>
      <c r="D72" s="9">
        <v>44545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B1:G12"/>
  <sheetViews>
    <sheetView zoomScaleNormal="100" workbookViewId="0">
      <selection activeCell="B5" sqref="B5"/>
    </sheetView>
  </sheetViews>
  <sheetFormatPr defaultColWidth="10" defaultRowHeight="25.8" x14ac:dyDescent="0.5"/>
  <cols>
    <col min="1" max="1" width="12" style="1" customWidth="1"/>
    <col min="2" max="2" width="90.5546875" style="1" customWidth="1"/>
    <col min="3" max="3" width="14.5546875" style="1" customWidth="1"/>
    <col min="4" max="4" width="14.6640625" style="1" customWidth="1"/>
    <col min="5" max="5" width="18.6640625" style="1" customWidth="1"/>
    <col min="6" max="6" width="21.88671875" style="1" bestFit="1" customWidth="1"/>
    <col min="7" max="7" width="23.5546875" style="1" customWidth="1"/>
    <col min="8" max="16384" width="10" style="1"/>
  </cols>
  <sheetData>
    <row r="1" spans="2:7" x14ac:dyDescent="0.5">
      <c r="C1" s="1">
        <f>VALUE(DAY($G$3))</f>
        <v>15</v>
      </c>
      <c r="D1" s="1">
        <f>VALUE(MONTH($G$3))</f>
        <v>12</v>
      </c>
      <c r="E1" s="2">
        <f>VALUE(YEAR($G$3))</f>
        <v>2021</v>
      </c>
      <c r="F1" s="1" t="s">
        <v>0</v>
      </c>
      <c r="G1" s="3">
        <v>731889</v>
      </c>
    </row>
    <row r="2" spans="2:7" ht="13.5" customHeight="1" x14ac:dyDescent="0.5"/>
    <row r="3" spans="2:7" ht="36.6" x14ac:dyDescent="0.5">
      <c r="B3" s="12" t="str">
        <f>VLOOKUP(G1,Chqdetails!$A$2:$I$500,2,FALSE)</f>
        <v>******&amp; Company</v>
      </c>
      <c r="F3" s="1" t="s">
        <v>3</v>
      </c>
      <c r="G3" s="4">
        <f>VLOOKUP(G1,Chqdetails!$A$2:$I$500,4,FALSE)</f>
        <v>44545</v>
      </c>
    </row>
    <row r="4" spans="2:7" ht="13.5" customHeight="1" x14ac:dyDescent="0.5"/>
    <row r="5" spans="2:7" ht="73.2" x14ac:dyDescent="0.5">
      <c r="B5" s="13" t="str">
        <f>SpellNumber(D5)</f>
        <v>Thirty Three Thousand Seven Hundred  Dollars and No Cents</v>
      </c>
      <c r="D5" s="14">
        <f>G5</f>
        <v>33700</v>
      </c>
      <c r="E5" s="14"/>
      <c r="F5" s="1" t="s">
        <v>2</v>
      </c>
      <c r="G5" s="11">
        <f>VLOOKUP(G1,Chqdetails!$A$2:$I$500,3,FALSE)</f>
        <v>33700</v>
      </c>
    </row>
    <row r="8" spans="2:7" x14ac:dyDescent="0.5">
      <c r="B8" s="5"/>
    </row>
    <row r="12" spans="2:7" ht="33.75" customHeight="1" x14ac:dyDescent="0.5"/>
  </sheetData>
  <mergeCells count="1">
    <mergeCell ref="D5:E5"/>
  </mergeCells>
  <pageMargins left="0.70866141732283472" right="0.19685039370078741" top="0.74803149606299213" bottom="0.74803149606299213" header="0.31496062992125984" footer="0.31496062992125984"/>
  <pageSetup paperSize="9" scale="60" orientation="portrait" r:id="rId1"/>
  <colBreaks count="1" manualBreakCount="1">
    <brk id="5" max="119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Chqdetails</vt:lpstr>
      <vt:lpstr>print</vt:lpstr>
      <vt:lpstr>print!Print_Area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ns09</dc:creator>
  <cp:keywords/>
  <dc:description/>
  <cp:lastModifiedBy>Longyin Li</cp:lastModifiedBy>
  <cp:revision/>
  <cp:lastPrinted>2021-12-15T02:50:12Z</cp:lastPrinted>
  <dcterms:created xsi:type="dcterms:W3CDTF">2021-03-17T05:47:20Z</dcterms:created>
  <dcterms:modified xsi:type="dcterms:W3CDTF">2022-02-07T12:34:27Z</dcterms:modified>
  <cp:category/>
  <cp:contentStatus/>
</cp:coreProperties>
</file>